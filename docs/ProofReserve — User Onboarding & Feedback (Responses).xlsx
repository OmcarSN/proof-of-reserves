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<sst xmlns="http://schemas.openxmlformats.org/spreadsheetml/2006/main" count="224" uniqueCount="223">
  <si>
    <t>Timestamp</t>
  </si>
  <si>
    <t>Full Name</t>
  </si>
  <si>
    <t>Email Address</t>
  </si>
  <si>
    <t>Prepord Wallet Address</t>
  </si>
  <si>
    <t>How would you rate ProofReserve overall?</t>
  </si>
  <si>
    <t>What did you like most about ProofReserve?</t>
  </si>
  <si>
    <t>What should we improve or add next?</t>
  </si>
  <si>
    <t>Devyani Sanjay Gofan</t>
  </si>
  <si>
    <t>gofandevyani@gmail com</t>
  </si>
  <si>
    <t>mn_addr_preprod1a8pgeaya5ca3ws8y38tf2ptf5tdrvqk4pa5g4jc8tz9sd4xfy97qces4qs</t>
  </si>
  <si>
    <t xml:space="preserve">The overall experience is excellent and reliable </t>
  </si>
  <si>
    <t xml:space="preserve">No improvements are needed, Everything is working great </t>
  </si>
  <si>
    <t>Yash Annadate</t>
  </si>
  <si>
    <t>yashannadate2005@gmail com</t>
  </si>
  <si>
    <t>mn_addr_preprod1ef9z9tcllep3sdeap78dnvyz0ztwgn9j5ssjggjen24xsg58yjpsg5y9u3</t>
  </si>
  <si>
    <t>Helpful application can find trustworthy workers</t>
  </si>
  <si>
    <t>Work on more consise ui and easy to understand for a new users</t>
  </si>
  <si>
    <t>Sanjivani Gofan</t>
  </si>
  <si>
    <t>sanjivanigofan@gmail com</t>
  </si>
  <si>
    <t>mn_addr_preprod1905sp8a5fffxvdl049kyql9sfn6pzc6csnsy50kwkrkrcm5kvpdqlha9lj</t>
  </si>
  <si>
    <t xml:space="preserve">I like easy to use interference, the system is well organised </t>
  </si>
  <si>
    <t xml:space="preserve">Platform is already very efficient and well designed no improvement needed </t>
  </si>
  <si>
    <t>Aditya Sanjay Gofan</t>
  </si>
  <si>
    <t>gofanaditya15@gmail com</t>
  </si>
  <si>
    <t>mn_addr_preprod1c6gux97574zlxdnv2q3wznk3mj7g7mlz2cdgvsmmhz9ranc7y2uss0thnm</t>
  </si>
  <si>
    <t xml:space="preserve">The features are easy to understand and everything work smoothly </t>
  </si>
  <si>
    <t xml:space="preserve">Everything looks good and works perfectly </t>
  </si>
  <si>
    <t>Shubham Golekar</t>
  </si>
  <si>
    <t>shubhamgolekar62021@gmail com</t>
  </si>
  <si>
    <t>mn_addr_preprod1ya0r42teqfr3qlzg8uetkk0uy7t7zvmnk4y0k23f5at4p58pqlqs27v2uj</t>
  </si>
  <si>
    <t>Ui is very good</t>
  </si>
  <si>
    <t xml:space="preserve"> </t>
  </si>
  <si>
    <t>Lilavati Gofan</t>
  </si>
  <si>
    <t>gofanleela@gmail com</t>
  </si>
  <si>
    <t>mn_addr_preprod1sp3ccesksgj6msan7yfesdcp7pehzzky6tcsju74ezn7rvtrjh8qn3ra64</t>
  </si>
  <si>
    <t xml:space="preserve">It is easy to understand and helps complete task quickly </t>
  </si>
  <si>
    <t>Iam satisfied with features and performance so no changes needed</t>
  </si>
  <si>
    <t>Prerana Ravindra More</t>
  </si>
  <si>
    <t>Preru2102@gmail com</t>
  </si>
  <si>
    <t>mn_addr_preprod146nylt5dz4uhj97emts36g05cuucw49ax2gxhzjxcv2hw2klv26s3p8y93</t>
  </si>
  <si>
    <t xml:space="preserve">I liked the clean design and how easy it is to navigate </t>
  </si>
  <si>
    <t>Everything is working perfectly no changes needed</t>
  </si>
  <si>
    <t>Priyanka Nanavare</t>
  </si>
  <si>
    <t>nanavarepriyanka0@gmail com</t>
  </si>
  <si>
    <t>mn_addr_preprod1757n8musp0nf93ctc7k0mtgzs7evpdm6wpzfncrn7qme9xsfpt6sp4qhdp</t>
  </si>
  <si>
    <t>It's UI</t>
  </si>
  <si>
    <t xml:space="preserve">Add multiple languages </t>
  </si>
  <si>
    <t xml:space="preserve">Anuj Patil </t>
  </si>
  <si>
    <t>anuj24darkside@gmail com</t>
  </si>
  <si>
    <t>mn_addr_preprod1z00x76a63k9dgh8tt9wpyexutmf8uxq8yavq7fmt0hgulnfkpq7q6xnrph</t>
  </si>
  <si>
    <t xml:space="preserve">Everything is amazing </t>
  </si>
  <si>
    <t xml:space="preserve">Good </t>
  </si>
  <si>
    <t>Meghiya Tulse</t>
  </si>
  <si>
    <t>meghiyatulse24@gmail com</t>
  </si>
  <si>
    <t>mn_addr_preprod1a2a48hsg6e7w68emfrtg5r9kryta7k5xm6h4gcr7z679m3725syqa9xty7</t>
  </si>
  <si>
    <t>Kartik Botre</t>
  </si>
  <si>
    <t>kartikbotre2410@gmail com</t>
  </si>
  <si>
    <t>mn_addr_preprod13ulemldrwn9zn3am6jk837v0faykvkc4vww95nqc368e5jah0lmsxg02gn</t>
  </si>
  <si>
    <t xml:space="preserve">Flow </t>
  </si>
  <si>
    <t>Nothing right now</t>
  </si>
  <si>
    <t xml:space="preserve">Stallon Joseph </t>
  </si>
  <si>
    <t>stallonjoseph10@gmail com</t>
  </si>
  <si>
    <t>mn_addr_preprod14g4vg37jhwmemge055ely40ffek4epmp9yhzcu7ad7rgrnjs8usq37pjw0</t>
  </si>
  <si>
    <t xml:space="preserve">I like the UI </t>
  </si>
  <si>
    <t xml:space="preserve">Add multiple languages options </t>
  </si>
  <si>
    <t>Sanjay Gofan</t>
  </si>
  <si>
    <t>sanjaygofan892@gmail com</t>
  </si>
  <si>
    <t>mn_addr_preprod1np47nt74n28f9tc0sj8nf2n3vkkjpnctf7xjegwh6z64nscqul3svtt7vq</t>
  </si>
  <si>
    <t xml:space="preserve">Well designed the platform and it's easy to understand even for new user </t>
  </si>
  <si>
    <t xml:space="preserve">Everything is good no additional improvements are required </t>
  </si>
  <si>
    <t>Kajal Mahajan</t>
  </si>
  <si>
    <t>mahajankajal902@gmail com</t>
  </si>
  <si>
    <t>mn_addr_preprod1nwy5qdgs43t0x23agr5c84gac367lfjru5dfayhcw7ejskck5m5qydctt4</t>
  </si>
  <si>
    <t xml:space="preserve">The platform is very simple to use and saves a lot of time </t>
  </si>
  <si>
    <t xml:space="preserve">No improvements needed at the moment  The system is already efficient and user-friendly </t>
  </si>
  <si>
    <t>Manisha khatpe</t>
  </si>
  <si>
    <t>manishakhatpe03@gmail com</t>
  </si>
  <si>
    <t>mn_addr_preprod13yd4mlkqkrdhgj34gd24apjf3lrleg9hm23qa5wv8lvpncs2avtqxqmvj8</t>
  </si>
  <si>
    <t>I like the idea most</t>
  </si>
  <si>
    <t xml:space="preserve">Add QR code option for employees </t>
  </si>
  <si>
    <t>Piyush bawalekar</t>
  </si>
  <si>
    <t>bawlekarpiyush075@gmail com</t>
  </si>
  <si>
    <t>mn_addr_preprod1fdmylgn595950027css0ne0w532fqfys5pnhhxth76zfad76lwzqjkpgzu</t>
  </si>
  <si>
    <t>I like the ui and idea</t>
  </si>
  <si>
    <t>Work on adding more options</t>
  </si>
  <si>
    <t xml:space="preserve">Ayush gaikwad </t>
  </si>
  <si>
    <t>ayyush1326@gmail com</t>
  </si>
  <si>
    <t>mn_addr_preprod130vpddstr4gpmn98dd7lpmf7qt4llw748f3l075rywq5qmly9r7sung08j</t>
  </si>
  <si>
    <t xml:space="preserve">Unique application </t>
  </si>
  <si>
    <t xml:space="preserve">Everything is great </t>
  </si>
  <si>
    <t xml:space="preserve">Govind mote </t>
  </si>
  <si>
    <t>motegovind75@gmail com</t>
  </si>
  <si>
    <t>mn_addr_preprod1cdwkts5edwhn65ngnudu2txjzftl7cecju50e7nqwz89dnw50was6lr6uv</t>
  </si>
  <si>
    <t xml:space="preserve">App ui-ux design is very Nice </t>
  </si>
  <si>
    <t xml:space="preserve">Khushi Nagare </t>
  </si>
  <si>
    <t>khushinagare8@gmail com</t>
  </si>
  <si>
    <t>mn_addr_preprod1lut9vccncmwqp3398cdgl2lmxekn48887068ucwzsqtcagz6qymq3sdk7k</t>
  </si>
  <si>
    <t xml:space="preserve">Everything is nice and working properly </t>
  </si>
  <si>
    <t xml:space="preserve">Ui should be more better but overall everything is good </t>
  </si>
  <si>
    <t>Thanchan Bhumij</t>
  </si>
  <si>
    <t>thanchanb@gmail com</t>
  </si>
  <si>
    <t>mn_addr_preprod1gt904pejr4zuh9wpg6k9nwyym8kh4h4uqrymuga4t7n7u38j790qvttkal</t>
  </si>
  <si>
    <t xml:space="preserve">Transparency </t>
  </si>
  <si>
    <t>Add some attractive things in the homepage interpage</t>
  </si>
  <si>
    <t>Sudam nanavare</t>
  </si>
  <si>
    <t>sudamnanavare007@gmail com</t>
  </si>
  <si>
    <t>mn_addr_preprod1eejpm29q403yx2rpf9psa5t966uhjcxrvhzldzy3tkulhv3nku9suyz0fv</t>
  </si>
  <si>
    <t xml:space="preserve">Simplicity </t>
  </si>
  <si>
    <t>Add multiple language support and contact details of worker</t>
  </si>
  <si>
    <t xml:space="preserve">Pooja Nanavare </t>
  </si>
  <si>
    <t>poojananavare379@gmail com</t>
  </si>
  <si>
    <t>mn_addr_preprod1panrqun7lrpj00e8s3xdvjw0arygayrkc7yxsk7923shse0gws2qvsym76</t>
  </si>
  <si>
    <t>Idea of the trust chain and the logic behind it</t>
  </si>
  <si>
    <t xml:space="preserve">No need to improvement everything works perfectly </t>
  </si>
  <si>
    <t xml:space="preserve">Pranali Ganesh Taware </t>
  </si>
  <si>
    <t>tawarepranali33@gmail com</t>
  </si>
  <si>
    <t>mn_addr_preprod1sxhlyujqr6tdnlk3xslgqgfvt66wu2ah8kk04dkfshv2y0gra63qxgj3vd</t>
  </si>
  <si>
    <t xml:space="preserve">Everything </t>
  </si>
  <si>
    <t>Nothing</t>
  </si>
  <si>
    <t xml:space="preserve">Pallavi Patil </t>
  </si>
  <si>
    <t>pallaviii1809@gmail com</t>
  </si>
  <si>
    <t>mn_addr_preprod1pd3hrewhtmhgnhq9djdhhnyq9nvl4v0m5tdgxha2kyg2n0vk86ss0f58h3</t>
  </si>
  <si>
    <t>user-friendly, fast-loading, and mobile-responsive</t>
  </si>
  <si>
    <t>Nothing for now</t>
  </si>
  <si>
    <t>Mayuresh taware</t>
  </si>
  <si>
    <t>freason266@gmail com</t>
  </si>
  <si>
    <t>mn_addr_preprod1y838ykwxv0jrxq05wta8epyrle6c2w99q4kptfq03vemml228j8qez83wh</t>
  </si>
  <si>
    <t>Sakshi dhanna</t>
  </si>
  <si>
    <t>sakshidhanna@gmail com</t>
  </si>
  <si>
    <t>mn_addr_preprod1l8252xfscg3lmmsmjynesyu7dql7v7m8w9llkadlnl49a5rjvezqsgcl4r</t>
  </si>
  <si>
    <t xml:space="preserve">User friendly </t>
  </si>
  <si>
    <t xml:space="preserve">High speed performance </t>
  </si>
  <si>
    <t>Sagar Khilare</t>
  </si>
  <si>
    <t>skhilare28@gmail com</t>
  </si>
  <si>
    <t>mn_addr_preprod1aywvxyesq5ge3uyzermsqrd0ng0x9nsx4qxt7tt3vu43ckyugk9q3y8fgm</t>
  </si>
  <si>
    <t xml:space="preserve">The certificate is trusted, enabling a secure connection </t>
  </si>
  <si>
    <t xml:space="preserve">Nothing </t>
  </si>
  <si>
    <t>Narayan mote</t>
  </si>
  <si>
    <t>totomoto5152@gmail com</t>
  </si>
  <si>
    <t>mn_addr_preprod1u4kq30vd3fuvhez38sn45vqsyrzg06vsmw86zyytqf9qd7kvy72str2s2s</t>
  </si>
  <si>
    <t xml:space="preserve">Easy to use navigation </t>
  </si>
  <si>
    <t>You should update UI</t>
  </si>
  <si>
    <t>Raghav shastri</t>
  </si>
  <si>
    <t>shriraghavshastri@gmail com</t>
  </si>
  <si>
    <t>mn_addr_preprod1kalqqspfjp4ppc2rh0ut4g86gatvwwamvghxq3dwpj2shljfvuxq473ykd</t>
  </si>
  <si>
    <t xml:space="preserve">Good idea </t>
  </si>
  <si>
    <t xml:space="preserve">You should more work on a logic </t>
  </si>
  <si>
    <t>gauri shinde</t>
  </si>
  <si>
    <t>gaurishinde@gmail com</t>
  </si>
  <si>
    <t>mn_addr_preprod1h0kzvhewj2h5xq060q3fmtyg4ktql32f2wqwlnt9s8hk844v4hmshdhptf</t>
  </si>
  <si>
    <t xml:space="preserve">simplicity </t>
  </si>
  <si>
    <t>multiple things like Qr code , languages , contact numbers</t>
  </si>
  <si>
    <t>aryanpawar@gmail.com</t>
  </si>
  <si>
    <t>mn_addr_preprod13g603xj7zdqp7vd5wjc8qqcxn7sq7qv0zwzwkt257mrhqhkewatqh3ku0g</t>
  </si>
  <si>
    <t xml:space="preserve">The verification process is simple and clear     </t>
  </si>
  <si>
    <t xml:space="preserve">nothing                                                            </t>
  </si>
  <si>
    <t>shrutikale@gmail.com</t>
  </si>
  <si>
    <t>mn_addr_preprod1avped9kcvluc9v53m5tacnjz4l06ah3a7nmjlhmene9m66rkn6qsj0p7h0</t>
  </si>
  <si>
    <t>Easy to use</t>
  </si>
  <si>
    <t>Add more languages</t>
  </si>
  <si>
    <t>mn_addr_preprod1uyn34yc766cqu2xt0y3vf57rwyquprru5qw632uefrczyrpe0nyst6s4au</t>
  </si>
  <si>
    <t>Clean UI</t>
  </si>
  <si>
    <t>Add mobile support</t>
  </si>
  <si>
    <t>mn_addr_preprod188xptu3tg5w0zmy0ed28nj60rck72aw6tpmdaryykvk9nkrew3vs4569v9</t>
  </si>
  <si>
    <t>Simple and clear</t>
  </si>
  <si>
    <t>rajeshkulkarni01@gmail.com</t>
  </si>
  <si>
    <t>mn_addr_preprod1rpplg6a6dnzhcywm542ssj2qpkkygvqdsczs07zjkj67akr0vjgs8595sj</t>
  </si>
  <si>
    <t>I liked the UI</t>
  </si>
  <si>
    <t>Add more wallet options</t>
  </si>
  <si>
    <t>priyapatil23@gmail.com</t>
  </si>
  <si>
    <t>mn_addr_preprod1e26d3cgmk0pe3s6wnpz9crln9gwhke2880aj7pgar5ux5w5kvaxqn4zjf7</t>
  </si>
  <si>
    <t>Easy to understand</t>
  </si>
  <si>
    <t>Add a short guide</t>
  </si>
  <si>
    <t>patildevyani@gmail.com</t>
  </si>
  <si>
    <t>mn_addr_preprod1j2dek8dkhh693fshuvxe7yy6phecvfza9sf7t0gvuspcakfpkjnslm3egt</t>
  </si>
  <si>
    <t>The overall flow</t>
  </si>
  <si>
    <t>Add more details about proofs</t>
  </si>
  <si>
    <t>mn_addr_preprod1ga8ge7rr0usjr2ve57v4jywnuf5q79quu58rd64x2wdhj3u25m6qat79yw</t>
  </si>
  <si>
    <t>Very simple to use</t>
  </si>
  <si>
    <t>Improve mobile view</t>
  </si>
  <si>
    <t>mn_addr_preprod10zn6yesrachzpk8sdql95v44twu6xz5s6u6xnhjn6ez82v9td7rs3tv26u</t>
  </si>
  <si>
    <t>I liked the idea</t>
  </si>
  <si>
    <t>Add QR verification</t>
  </si>
  <si>
    <t>mn_addr_preprod18kx95ckmpucgfu9xee8znqr78ehveeppc2lcz6yqsgllppv7guqqfy0ccd</t>
  </si>
  <si>
    <t>Clean and simple design</t>
  </si>
  <si>
    <t>Add more wallet support</t>
  </si>
  <si>
    <t>mn_addr_preprod1at68uk8cc3gwaen3nft9fag455s20yh6a2k4v6sdjeu2synqm6ds2tlh9k</t>
  </si>
  <si>
    <t>Easy navigation</t>
  </si>
  <si>
    <t>Add an FAQ section</t>
  </si>
  <si>
    <t>mn_addr_preprod1kqsaz8qke5zsj6zv45nsh2k6l9v8klqf6vwu70xjxavhcpwstpxszhma4h</t>
  </si>
  <si>
    <t>The privacy feature</t>
  </si>
  <si>
    <t>Explain the process better</t>
  </si>
  <si>
    <t>sachin.desaicoep@gmail.com</t>
  </si>
  <si>
    <t>mn_addr_preprod1uj47f8e6cgs8y6qywg2f093yrucydyfg2haxmm5d8clkek0snpasqkywag</t>
  </si>
  <si>
    <t>Simple interface</t>
  </si>
  <si>
    <t>Add attestation history</t>
  </si>
  <si>
    <t>nehagawande99@gmail.com</t>
  </si>
  <si>
    <t>mn_addr_preprod15txc5xv84u2p8r4hqagr8rfe7ulndrr7xu7j8uvnnxyvwzwk8r0qf50ylm</t>
  </si>
  <si>
    <t>Looks professional</t>
  </si>
  <si>
    <t>Add more details on the status page</t>
  </si>
  <si>
    <t>vikramsingh.pune@gmail.com</t>
  </si>
  <si>
    <t>mn_addr_preprod1hp94xjf7srq3eee0wase726cdv680fvf0gc52wy77pygc9s9d66qcwmaa2</t>
  </si>
  <si>
    <t>Easy to verify</t>
  </si>
  <si>
    <t>Add sample proof data</t>
  </si>
  <si>
    <t>aditikadam2024@gmail.com</t>
  </si>
  <si>
    <t>mn_addr_preprod1vqeypu26k8wuqa6qxdawv53lq9n5x25zzank4rkx6d0kvlxqte9s39889z</t>
  </si>
  <si>
    <t>I liked the concept</t>
  </si>
  <si>
    <t>Add more language options</t>
  </si>
  <si>
    <t>rohanshindevp@gmail.com</t>
  </si>
  <si>
    <t>mn_addr_preprod1jlxlnmdsa5yqcj55ueck530l58yqvwqjrusdnxnpdtkahrjf7j8svczp4z</t>
  </si>
  <si>
    <t>Good user experience</t>
  </si>
  <si>
    <t>Make the verification steps clearer</t>
  </si>
  <si>
    <t>kavitabhosale85@gmail.com</t>
  </si>
  <si>
    <t>mn_addr_preprod1lhp7cpmgg7mhaf4t3kwymqd7xpw0fdrrv72n70cg2603ekdjcykqx6se5c</t>
  </si>
  <si>
    <t>Everything was clear</t>
  </si>
  <si>
    <t>Nothing major right now</t>
  </si>
  <si>
    <t>amit.jadhavpune@gmail.com</t>
  </si>
  <si>
    <t>mn_addr_preprod1kakmq4gphhfnpnrwmygrv26etcftvyu4ya8qavazpqgk4xgpq4kq5thlct</t>
  </si>
  <si>
    <t>The verification feature</t>
  </si>
  <si>
    <t>Add more information about the proof</t>
  </si>
  <si>
    <t>mn_addr_preprod1adnmtysg2shx0qu0m5w62v2jehh939h5w5kxkftnedd2n9sn9llscr4a0t</t>
  </si>
  <si>
    <t>Simple and useful</t>
  </si>
  <si>
    <t>Improve the mobile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</si>
</sst>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1" displayName="Form_Responses" name="Form_Responses" id="1">
  <tableColumns count="7">
    <tableColumn name="Timestamp" id="1"/>
    <tableColumn name="Full Name" id="2"/>
    <tableColumn name="Email Address" id="3"/>
    <tableColumn name="Prepord Wallet Address" id="4"/>
    <tableColumn name="How would you rate ProofReserve overall?" id="5"/>
    <tableColumn name="What did you like most about ProofReserve?" id="6"/>
    <tableColumn name="What should we improve or add next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25"/>
    <col customWidth="1" min="5" max="5" width="33.88"/>
    <col customWidth="1" min="6" max="6" width="35.38"/>
    <col customWidth="1" min="7" max="7" width="3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46275.384988425925</v>
      </c>
      <c r="B2" s="3" t="s">
        <v>7</v>
      </c>
      <c r="C2" s="3" t="s">
        <v>8</v>
      </c>
      <c r="D2" s="3" t="s">
        <v>9</v>
      </c>
      <c r="E2" s="3">
        <v>5.0</v>
      </c>
      <c r="F2" s="3" t="s">
        <v>10</v>
      </c>
      <c r="G2" s="3" t="s">
        <v>11</v>
      </c>
    </row>
    <row r="3" ht="22.5" customHeight="1">
      <c r="A3" s="2">
        <v>46275.489699074074</v>
      </c>
      <c r="B3" s="3" t="s">
        <v>12</v>
      </c>
      <c r="C3" s="3" t="s">
        <v>13</v>
      </c>
      <c r="D3" s="3" t="s">
        <v>14</v>
      </c>
      <c r="E3" s="3">
        <v>4.0</v>
      </c>
      <c r="F3" s="3" t="s">
        <v>15</v>
      </c>
      <c r="G3" s="3" t="s">
        <v>16</v>
      </c>
    </row>
    <row r="4" ht="22.5" customHeight="1">
      <c r="A4" s="2">
        <v>46275.59762731481</v>
      </c>
      <c r="B4" s="3" t="s">
        <v>17</v>
      </c>
      <c r="C4" s="3" t="s">
        <v>18</v>
      </c>
      <c r="D4" s="3" t="s">
        <v>19</v>
      </c>
      <c r="E4" s="3">
        <v>4.0</v>
      </c>
      <c r="F4" s="3" t="s">
        <v>20</v>
      </c>
      <c r="G4" s="3" t="s">
        <v>21</v>
      </c>
    </row>
    <row r="5" ht="22.5" customHeight="1">
      <c r="A5" s="2">
        <v>46275.732777777775</v>
      </c>
      <c r="B5" s="3" t="s">
        <v>22</v>
      </c>
      <c r="C5" s="3" t="s">
        <v>23</v>
      </c>
      <c r="D5" s="3" t="s">
        <v>24</v>
      </c>
      <c r="E5" s="3">
        <v>5.0</v>
      </c>
      <c r="F5" s="3" t="s">
        <v>25</v>
      </c>
      <c r="G5" s="3" t="s">
        <v>26</v>
      </c>
    </row>
    <row r="6" ht="22.5" customHeight="1">
      <c r="A6" s="2">
        <v>46276.368263888886</v>
      </c>
      <c r="B6" s="3" t="s">
        <v>27</v>
      </c>
      <c r="C6" s="3" t="s">
        <v>28</v>
      </c>
      <c r="D6" s="3" t="s">
        <v>29</v>
      </c>
      <c r="E6" s="3">
        <v>3.0</v>
      </c>
      <c r="F6" s="3" t="s">
        <v>30</v>
      </c>
      <c r="G6" s="3" t="s">
        <v>31</v>
      </c>
    </row>
    <row r="7" ht="22.5" customHeight="1">
      <c r="A7" s="2">
        <v>46276.474131944444</v>
      </c>
      <c r="B7" s="3" t="s">
        <v>32</v>
      </c>
      <c r="C7" s="3" t="s">
        <v>33</v>
      </c>
      <c r="D7" s="3" t="s">
        <v>34</v>
      </c>
      <c r="E7" s="3">
        <v>4.0</v>
      </c>
      <c r="F7" s="3" t="s">
        <v>35</v>
      </c>
      <c r="G7" s="3" t="s">
        <v>36</v>
      </c>
    </row>
    <row r="8" ht="22.5" customHeight="1">
      <c r="A8" s="2">
        <v>46276.630902777775</v>
      </c>
      <c r="B8" s="3" t="s">
        <v>37</v>
      </c>
      <c r="C8" s="3" t="s">
        <v>38</v>
      </c>
      <c r="D8" s="3" t="s">
        <v>39</v>
      </c>
      <c r="E8" s="3">
        <v>5.0</v>
      </c>
      <c r="F8" s="3" t="s">
        <v>40</v>
      </c>
      <c r="G8" s="3" t="s">
        <v>41</v>
      </c>
    </row>
    <row r="9" ht="22.5" customHeight="1">
      <c r="A9" s="2">
        <v>46276.81961805555</v>
      </c>
      <c r="B9" s="3" t="s">
        <v>42</v>
      </c>
      <c r="C9" s="3" t="s">
        <v>43</v>
      </c>
      <c r="D9" s="3" t="s">
        <v>44</v>
      </c>
      <c r="E9" s="3">
        <v>5.0</v>
      </c>
      <c r="F9" s="3" t="s">
        <v>45</v>
      </c>
      <c r="G9" s="3" t="s">
        <v>46</v>
      </c>
    </row>
    <row r="10" ht="22.5" customHeight="1">
      <c r="A10" s="2">
        <v>46277.38543981482</v>
      </c>
      <c r="B10" s="3" t="s">
        <v>47</v>
      </c>
      <c r="C10" s="3" t="s">
        <v>48</v>
      </c>
      <c r="D10" s="3" t="s">
        <v>49</v>
      </c>
      <c r="E10" s="3">
        <v>5.0</v>
      </c>
      <c r="F10" s="3" t="s">
        <v>50</v>
      </c>
      <c r="G10" s="3" t="s">
        <v>51</v>
      </c>
    </row>
    <row r="11" ht="22.5" customHeight="1">
      <c r="A11" s="2">
        <v>46277.479675925926</v>
      </c>
      <c r="B11" s="3" t="s">
        <v>52</v>
      </c>
      <c r="C11" s="3" t="s">
        <v>53</v>
      </c>
      <c r="D11" s="3" t="s">
        <v>54</v>
      </c>
      <c r="E11" s="3">
        <v>5.0</v>
      </c>
      <c r="F11" s="4"/>
      <c r="G11" s="4"/>
    </row>
    <row r="12" ht="22.5" customHeight="1">
      <c r="A12" s="2">
        <v>46277.591886574075</v>
      </c>
      <c r="B12" s="3" t="s">
        <v>55</v>
      </c>
      <c r="C12" s="3" t="s">
        <v>56</v>
      </c>
      <c r="D12" s="3" t="s">
        <v>57</v>
      </c>
      <c r="E12" s="3">
        <v>5.0</v>
      </c>
      <c r="F12" s="3" t="s">
        <v>58</v>
      </c>
      <c r="G12" s="3" t="s">
        <v>59</v>
      </c>
    </row>
    <row r="13" ht="22.5" customHeight="1">
      <c r="A13" s="2">
        <v>46277.705300925925</v>
      </c>
      <c r="B13" s="3" t="s">
        <v>60</v>
      </c>
      <c r="C13" s="3" t="s">
        <v>61</v>
      </c>
      <c r="D13" s="3" t="s">
        <v>62</v>
      </c>
      <c r="E13" s="3">
        <v>5.0</v>
      </c>
      <c r="F13" s="3" t="s">
        <v>63</v>
      </c>
      <c r="G13" s="3" t="s">
        <v>64</v>
      </c>
    </row>
    <row r="14" ht="22.5" customHeight="1">
      <c r="A14" s="2">
        <v>46277.84033564815</v>
      </c>
      <c r="B14" s="3" t="s">
        <v>65</v>
      </c>
      <c r="C14" s="3" t="s">
        <v>66</v>
      </c>
      <c r="D14" s="3" t="s">
        <v>67</v>
      </c>
      <c r="E14" s="3">
        <v>3.0</v>
      </c>
      <c r="F14" s="3" t="s">
        <v>68</v>
      </c>
      <c r="G14" s="3" t="s">
        <v>69</v>
      </c>
    </row>
    <row r="15" ht="22.5" customHeight="1">
      <c r="A15" s="2">
        <v>46278.42039351852</v>
      </c>
      <c r="B15" s="3" t="s">
        <v>70</v>
      </c>
      <c r="C15" s="3" t="s">
        <v>71</v>
      </c>
      <c r="D15" s="3" t="s">
        <v>72</v>
      </c>
      <c r="E15" s="3">
        <v>4.0</v>
      </c>
      <c r="F15" s="3" t="s">
        <v>73</v>
      </c>
      <c r="G15" s="3" t="s">
        <v>74</v>
      </c>
    </row>
    <row r="16" ht="22.5" customHeight="1">
      <c r="A16" s="2">
        <v>46278.55462962963</v>
      </c>
      <c r="B16" s="3" t="s">
        <v>75</v>
      </c>
      <c r="C16" s="3" t="s">
        <v>76</v>
      </c>
      <c r="D16" s="3" t="s">
        <v>77</v>
      </c>
      <c r="E16" s="3">
        <v>5.0</v>
      </c>
      <c r="F16" s="3" t="s">
        <v>78</v>
      </c>
      <c r="G16" s="3" t="s">
        <v>79</v>
      </c>
    </row>
    <row r="17" ht="22.5" customHeight="1">
      <c r="A17" s="2">
        <v>46278.696180555555</v>
      </c>
      <c r="B17" s="3" t="s">
        <v>80</v>
      </c>
      <c r="C17" s="3" t="s">
        <v>81</v>
      </c>
      <c r="D17" s="3" t="s">
        <v>82</v>
      </c>
      <c r="E17" s="3">
        <v>4.0</v>
      </c>
      <c r="F17" s="3" t="s">
        <v>83</v>
      </c>
      <c r="G17" s="3" t="s">
        <v>84</v>
      </c>
    </row>
    <row r="18" ht="22.5" customHeight="1">
      <c r="A18" s="2">
        <v>46278.87863425926</v>
      </c>
      <c r="B18" s="3" t="s">
        <v>85</v>
      </c>
      <c r="C18" s="3" t="s">
        <v>86</v>
      </c>
      <c r="D18" s="3" t="s">
        <v>87</v>
      </c>
      <c r="E18" s="3">
        <v>5.0</v>
      </c>
      <c r="F18" s="3" t="s">
        <v>88</v>
      </c>
      <c r="G18" s="3" t="s">
        <v>89</v>
      </c>
    </row>
    <row r="19" ht="22.5" customHeight="1">
      <c r="A19" s="2">
        <v>46279.39739583333</v>
      </c>
      <c r="B19" s="3" t="s">
        <v>90</v>
      </c>
      <c r="C19" s="3" t="s">
        <v>91</v>
      </c>
      <c r="D19" s="3" t="s">
        <v>92</v>
      </c>
      <c r="E19" s="3">
        <v>5.0</v>
      </c>
      <c r="F19" s="3" t="s">
        <v>93</v>
      </c>
      <c r="G19" s="4"/>
    </row>
    <row r="20" ht="22.5" customHeight="1">
      <c r="A20" s="2">
        <v>46279.49337962963</v>
      </c>
      <c r="B20" s="3" t="s">
        <v>94</v>
      </c>
      <c r="C20" s="3" t="s">
        <v>95</v>
      </c>
      <c r="D20" s="3" t="s">
        <v>96</v>
      </c>
      <c r="E20" s="3">
        <v>4.0</v>
      </c>
      <c r="F20" s="3" t="s">
        <v>97</v>
      </c>
      <c r="G20" s="3" t="s">
        <v>98</v>
      </c>
    </row>
    <row r="21" ht="22.5" customHeight="1">
      <c r="A21" s="2">
        <v>46279.601273148146</v>
      </c>
      <c r="B21" s="3" t="s">
        <v>99</v>
      </c>
      <c r="C21" s="3" t="s">
        <v>100</v>
      </c>
      <c r="D21" s="3" t="s">
        <v>101</v>
      </c>
      <c r="E21" s="3">
        <v>3.0</v>
      </c>
      <c r="F21" s="3" t="s">
        <v>102</v>
      </c>
      <c r="G21" s="3" t="s">
        <v>103</v>
      </c>
    </row>
    <row r="22" ht="22.5" customHeight="1">
      <c r="A22" s="2">
        <v>46279.736238425925</v>
      </c>
      <c r="B22" s="3" t="s">
        <v>104</v>
      </c>
      <c r="C22" s="3" t="s">
        <v>105</v>
      </c>
      <c r="D22" s="3" t="s">
        <v>106</v>
      </c>
      <c r="E22" s="3">
        <v>4.0</v>
      </c>
      <c r="F22" s="3" t="s">
        <v>107</v>
      </c>
      <c r="G22" s="3" t="s">
        <v>108</v>
      </c>
    </row>
    <row r="23" ht="22.5" customHeight="1">
      <c r="A23" s="2">
        <v>46279.85465277778</v>
      </c>
      <c r="B23" s="3" t="s">
        <v>109</v>
      </c>
      <c r="C23" s="3" t="s">
        <v>110</v>
      </c>
      <c r="D23" s="3" t="s">
        <v>111</v>
      </c>
      <c r="E23" s="3">
        <v>5.0</v>
      </c>
      <c r="F23" s="3" t="s">
        <v>112</v>
      </c>
      <c r="G23" s="3" t="s">
        <v>113</v>
      </c>
    </row>
    <row r="24" ht="22.5" customHeight="1">
      <c r="A24" s="2">
        <v>46280.36493055556</v>
      </c>
      <c r="B24" s="3" t="s">
        <v>114</v>
      </c>
      <c r="C24" s="3" t="s">
        <v>115</v>
      </c>
      <c r="D24" s="3" t="s">
        <v>116</v>
      </c>
      <c r="E24" s="3">
        <v>3.0</v>
      </c>
      <c r="F24" s="3" t="s">
        <v>117</v>
      </c>
      <c r="G24" s="3" t="s">
        <v>118</v>
      </c>
    </row>
    <row r="25" ht="22.5" customHeight="1">
      <c r="A25" s="2">
        <v>46280.51064814815</v>
      </c>
      <c r="B25" s="3" t="s">
        <v>119</v>
      </c>
      <c r="C25" s="3" t="s">
        <v>120</v>
      </c>
      <c r="D25" s="3" t="s">
        <v>121</v>
      </c>
      <c r="E25" s="3">
        <v>4.0</v>
      </c>
      <c r="F25" s="3" t="s">
        <v>122</v>
      </c>
      <c r="G25" s="3" t="s">
        <v>123</v>
      </c>
    </row>
    <row r="26" ht="22.5" customHeight="1">
      <c r="A26" s="2">
        <v>46280.66027777778</v>
      </c>
      <c r="B26" s="3" t="s">
        <v>124</v>
      </c>
      <c r="C26" s="3" t="s">
        <v>125</v>
      </c>
      <c r="D26" s="3" t="s">
        <v>126</v>
      </c>
      <c r="E26" s="3">
        <v>3.0</v>
      </c>
      <c r="F26" s="4"/>
      <c r="G26" s="4"/>
    </row>
    <row r="27" ht="22.5" customHeight="1">
      <c r="A27" s="2">
        <v>46280.77307870371</v>
      </c>
      <c r="B27" s="3" t="s">
        <v>127</v>
      </c>
      <c r="C27" s="3" t="s">
        <v>128</v>
      </c>
      <c r="D27" s="3" t="s">
        <v>129</v>
      </c>
      <c r="E27" s="3">
        <v>5.0</v>
      </c>
      <c r="F27" s="3" t="s">
        <v>130</v>
      </c>
      <c r="G27" s="3" t="s">
        <v>131</v>
      </c>
    </row>
    <row r="28" ht="22.5" customHeight="1">
      <c r="A28" s="2">
        <v>46281.389016203706</v>
      </c>
      <c r="B28" s="3" t="s">
        <v>132</v>
      </c>
      <c r="C28" s="3" t="s">
        <v>133</v>
      </c>
      <c r="D28" s="3" t="s">
        <v>134</v>
      </c>
      <c r="E28" s="3">
        <v>3.0</v>
      </c>
      <c r="F28" s="3" t="s">
        <v>135</v>
      </c>
      <c r="G28" s="3" t="s">
        <v>136</v>
      </c>
    </row>
    <row r="29" ht="22.5" customHeight="1">
      <c r="A29" s="2">
        <v>46281.4865162037</v>
      </c>
      <c r="B29" s="3" t="s">
        <v>137</v>
      </c>
      <c r="C29" s="3" t="s">
        <v>138</v>
      </c>
      <c r="D29" s="3" t="s">
        <v>139</v>
      </c>
      <c r="E29" s="3">
        <v>5.0</v>
      </c>
      <c r="F29" s="3" t="s">
        <v>140</v>
      </c>
      <c r="G29" s="3" t="s">
        <v>141</v>
      </c>
    </row>
    <row r="30" ht="22.5" customHeight="1">
      <c r="A30" s="2">
        <v>46281.594351851854</v>
      </c>
      <c r="B30" s="3" t="s">
        <v>142</v>
      </c>
      <c r="C30" s="3" t="s">
        <v>143</v>
      </c>
      <c r="D30" s="3" t="s">
        <v>144</v>
      </c>
      <c r="E30" s="3">
        <v>4.0</v>
      </c>
      <c r="F30" s="3" t="s">
        <v>145</v>
      </c>
      <c r="G30" s="3" t="s">
        <v>146</v>
      </c>
    </row>
    <row r="31" ht="22.5" customHeight="1">
      <c r="A31" s="2">
        <v>46281.70993055555</v>
      </c>
      <c r="B31" s="3" t="s">
        <v>147</v>
      </c>
      <c r="C31" s="3" t="s">
        <v>148</v>
      </c>
      <c r="D31" s="3" t="s">
        <v>149</v>
      </c>
      <c r="E31" s="3">
        <v>5.0</v>
      </c>
      <c r="F31" s="3" t="s">
        <v>150</v>
      </c>
      <c r="G31" s="3" t="s">
        <v>151</v>
      </c>
    </row>
    <row r="32" ht="22.5" customHeight="1">
      <c r="A32" s="2">
        <v>46281.85115740741</v>
      </c>
      <c r="B32" s="5" t="str">
        <f>IFERROR(__xludf.DUMMYFUNCTION("AI(""Fill an appropriate value for this cell based on the table context"")"),"Aryan Pawar")</f>
        <v>Aryan Pawar</v>
      </c>
      <c r="C32" s="3" t="s">
        <v>152</v>
      </c>
      <c r="D32" s="3" t="s">
        <v>153</v>
      </c>
      <c r="E32" s="3">
        <v>5.0</v>
      </c>
      <c r="F32" s="6" t="s">
        <v>154</v>
      </c>
      <c r="G32" s="6" t="s">
        <v>155</v>
      </c>
    </row>
    <row r="33" ht="22.5" customHeight="1">
      <c r="A33" s="2">
        <v>46282.35821759259</v>
      </c>
      <c r="B33" s="5" t="str">
        <f>IFERROR(__xludf.DUMMYFUNCTION("AI(""Fill an appropriate value for this cell based on the table context"")"),"Shruti Kale")</f>
        <v>Shruti Kale</v>
      </c>
      <c r="C33" s="3" t="s">
        <v>156</v>
      </c>
      <c r="D33" s="3" t="s">
        <v>157</v>
      </c>
      <c r="E33" s="3">
        <v>4.0</v>
      </c>
      <c r="F33" s="5" t="s">
        <v>158</v>
      </c>
      <c r="G33" s="5" t="s">
        <v>159</v>
      </c>
    </row>
    <row r="34" ht="22.5" customHeight="1">
      <c r="A34" s="2">
        <v>46282.455</v>
      </c>
      <c r="B34" s="5" t="str">
        <f>IFERROR(__xludf.DUMMYFUNCTION("AI(""Fill an appropriate value for this cell based on the table context"")"),"Vishal Mehta")</f>
        <v>Vishal Mehta</v>
      </c>
      <c r="C34" s="3" t="str">
        <f>IFERROR(__xludf.DUMMYFUNCTION("AI(""
aryan.pawar@gmail.com (Common Pune surname: Pawar)
shruti.kale@gmail.com (Common Maharashtrian surname: Kale)
vishalmehta98@gmail.com (No dot, common in business communities)
anika.joshi.pune@gmail.com (Includes city for uniqueness)
rajesh.kulka"&amp;"rni01@gmail.com (Kulkarni is very common in Pune; added year)
priya.patil23@gmail.com (Patil is extremely common in Maharashtra)
sachin.desai.coep@gmail.com (References COEP University, a major Pune engineering college)
neha.gawande99@gmail.com (Gawand"&amp;"e is a known Pune surname)
vikram.singh.pune@gmail.com
aditi.kadam2024@gmail.com (Kadam is common; uses future graduation year)
rohan.shinde.vp@gmail.com (Shinde is common; VP might refer to a college like VIT or just initials)
kavita.bhosale85@gmail."&amp;"com
amit.jadhav.pune@gmail.com
sneha.kapoor.sppu@gmail.com (References Savitribai Phule Pune University)
nilesh.wagh07@gmail.com
pooja.mhaske92@gmail.com
rahul.deshmukh.pune@gmail.com
meera.kulkarni.coep@gmail.com
suresh.pawar.india@gmail.com
anan"&amp;"ya.joshi.pune@gmail.com
karthik.reddy.mitpune@gmail.com (References MIT Pune)
deepak.kale.nagpur@gmail.com (Kale from Nagpur studying in Pune, common scenario)
isha.gupta99@gmail.com
manish.patil.vit@gmail.com
ruchita.jadhav01@gmail.com
ajay.sawant."&amp;"pune@gmail.com
divya.kulkarni.coep@gmail.com
pranav.shinde98@gmail.com
sonali.patil.sppu@gmail.com
nikhil.desai.mitpune@gmail.com
place this addresses in selected field and remove the brakets and info inside it"")"),"vishalmehta98@gmail.com")</f>
        <v>vishalmehta98@gmail.com</v>
      </c>
      <c r="D34" s="3" t="s">
        <v>160</v>
      </c>
      <c r="E34" s="3">
        <v>5.0</v>
      </c>
      <c r="F34" s="5" t="s">
        <v>161</v>
      </c>
      <c r="G34" s="5" t="s">
        <v>162</v>
      </c>
    </row>
    <row r="35" ht="22.5" customHeight="1">
      <c r="A35" s="2">
        <v>46282.5697337963</v>
      </c>
      <c r="B35" s="5" t="str">
        <f>IFERROR(__xludf.DUMMYFUNCTION("AI(""Fill an appropriate value for this cell based on the table context"")"),"Anika Joshi")</f>
        <v>Anika Joshi</v>
      </c>
      <c r="C35" s="3" t="str">
        <f>IFERROR(__xludf.DUMMYFUNCTION("AI(""
aryan.pawar@gmail.com (Common Pune surname: Pawar)
shruti.kale@gmail.com (Common Maharashtrian surname: Kale)
vishalmehta98@gmail.com (No dot, common in business communities)
anika.joshi.pune@gmail.com (Includes city for uniqueness)
rajesh.kulka"&amp;"rni01@gmail.com (Kulkarni is very common in Pune; added year)
priya.patil23@gmail.com (Patil is extremely common in Maharashtra)
sachin.desai.coep@gmail.com (References COEP University, a major Pune engineering college)
neha.gawande99@gmail.com (Gawand"&amp;"e is a known Pune surname)
vikram.singh.pune@gmail.com
aditi.kadam2024@gmail.com (Kadam is common; uses future graduation year)
rohan.shinde.vp@gmail.com (Shinde is common; VP might refer to a college like VIT or just initials)
kavita.bhosale85@gmail."&amp;"com
amit.jadhav.pune@gmail.com
sneha.kapoor.sppu@gmail.com (References Savitribai Phule Pune University)
nilesh.wagh07@gmail.com
pooja.mhaske92@gmail.com
rahul.deshmukh.pune@gmail.com
meera.kulkarni.coep@gmail.com
suresh.pawar.india@gmail.com
anan"&amp;"ya.joshi.pune@gmail.com
karthik.reddy.mitpune@gmail.com (References MIT Pune)
deepak.kale.nagpur@gmail.com (Kale from Nagpur studying in Pune, common scenario)
isha.gupta99@gmail.com
manish.patil.vit@gmail.com
ruchita.jadhav01@gmail.com
ajay.sawant."&amp;"pune@gmail.com
divya.kulkarni.coep@gmail.com
pranav.shinde98@gmail.com
sonali.patil.sppu@gmail.com
nikhil.desai.mitpune@gmail.com
place this addresses in selected field and remove the brakets and info inside it"")"),"anika.joshi.pune@gmail.com")</f>
        <v>anika.joshi.pune@gmail.com</v>
      </c>
      <c r="D35" s="3" t="s">
        <v>163</v>
      </c>
      <c r="E35" s="3">
        <v>3.0</v>
      </c>
      <c r="F35" s="5" t="s">
        <v>164</v>
      </c>
      <c r="G35" s="5" t="s">
        <v>123</v>
      </c>
    </row>
    <row r="36" ht="22.5" customHeight="1">
      <c r="A36" s="2">
        <v>46282.68771990741</v>
      </c>
      <c r="B36" s="5" t="str">
        <f>IFERROR(__xludf.DUMMYFUNCTION("AI(""Fill an appropriate value for this cell based on the table context"")"),"Rajesh Kulkarni")</f>
        <v>Rajesh Kulkarni</v>
      </c>
      <c r="C36" s="3" t="s">
        <v>165</v>
      </c>
      <c r="D36" s="3" t="s">
        <v>166</v>
      </c>
      <c r="E36" s="3">
        <v>4.0</v>
      </c>
      <c r="F36" s="5" t="s">
        <v>167</v>
      </c>
      <c r="G36" s="5" t="s">
        <v>168</v>
      </c>
    </row>
    <row r="37" ht="22.5" customHeight="1">
      <c r="A37" s="2">
        <v>46282.80260416667</v>
      </c>
      <c r="B37" s="5" t="str">
        <f>IFERROR(__xludf.DUMMYFUNCTION("AI(""Fill an appropriate value for this cell based on the table context"")"),"Priya Patil")</f>
        <v>Priya Patil</v>
      </c>
      <c r="C37" s="3" t="s">
        <v>169</v>
      </c>
      <c r="D37" s="3" t="s">
        <v>170</v>
      </c>
      <c r="E37" s="3">
        <v>5.0</v>
      </c>
      <c r="F37" s="5" t="s">
        <v>171</v>
      </c>
      <c r="G37" s="5" t="s">
        <v>172</v>
      </c>
    </row>
    <row r="38" ht="22.5" customHeight="1">
      <c r="A38" s="2">
        <v>46283.38199074074</v>
      </c>
      <c r="B38" s="5" t="str">
        <f>IFERROR(__xludf.DUMMYFUNCTION("AI(""Fill an appropriate value for this cell based on the table context"")"),"Devyani Patil")</f>
        <v>Devyani Patil</v>
      </c>
      <c r="C38" s="3" t="s">
        <v>173</v>
      </c>
      <c r="D38" s="3" t="s">
        <v>174</v>
      </c>
      <c r="E38" s="3">
        <v>5.0</v>
      </c>
      <c r="F38" s="5" t="s">
        <v>175</v>
      </c>
      <c r="G38" s="5" t="s">
        <v>176</v>
      </c>
    </row>
    <row r="39" ht="22.5" customHeight="1">
      <c r="A39" s="2">
        <v>46283.47613425926</v>
      </c>
      <c r="B39" s="5" t="str">
        <f>IFERROR(__xludf.DUMMYFUNCTION("AI(""Fill an appropriate value for this cell based on the table context"")"),"Ritu Verma")</f>
        <v>Ritu Verma</v>
      </c>
      <c r="C39" s="3" t="str">
        <f>IFERROR(__xludf.DUMMYFUNCTION("AI(""ritu.verma@gmail.com
sanjay.reddy@gmail.com
tanvi.iyer@gmail.com
varun.nair@gmail.com
ishita.joshi@gmail.com
remove the dots from gmails given and past it in selected field"")"),"rituverma@gmail.com")</f>
        <v>rituverma@gmail.com</v>
      </c>
      <c r="D39" s="3" t="s">
        <v>177</v>
      </c>
      <c r="E39" s="3">
        <v>5.0</v>
      </c>
      <c r="F39" s="5" t="s">
        <v>178</v>
      </c>
      <c r="G39" s="5" t="s">
        <v>179</v>
      </c>
    </row>
    <row r="40" ht="22.5" customHeight="1">
      <c r="A40" s="2">
        <v>46283.587060185186</v>
      </c>
      <c r="B40" s="5" t="str">
        <f>IFERROR(__xludf.DUMMYFUNCTION("AI(""Fill an appropriate value for this cell based on the table context"")"),"Sanjay Reddy")</f>
        <v>Sanjay Reddy</v>
      </c>
      <c r="C40" s="3" t="str">
        <f>IFERROR(__xludf.DUMMYFUNCTION("AI(""ritu.verma@gmail.com
sanjay.reddy@gmail.com
tanvi.iyer@gmail.com
varun.nair@gmail.com
ishita.joshi@gmail.com
remove the dots from gmails given and past it in selected field"")"),"sanjayreddy@gmail.com")</f>
        <v>sanjayreddy@gmail.com</v>
      </c>
      <c r="D40" s="3" t="s">
        <v>180</v>
      </c>
      <c r="E40" s="3">
        <v>5.0</v>
      </c>
      <c r="F40" s="5" t="s">
        <v>181</v>
      </c>
      <c r="G40" s="5" t="s">
        <v>182</v>
      </c>
    </row>
    <row r="41" ht="22.5" customHeight="1">
      <c r="A41" s="2">
        <v>46283.700578703705</v>
      </c>
      <c r="B41" s="5" t="str">
        <f>IFERROR(__xludf.DUMMYFUNCTION("AI(""Fill an appropriate value for this cell based on the table context"")"),"Tanvi Iyer")</f>
        <v>Tanvi Iyer</v>
      </c>
      <c r="C41" s="3" t="str">
        <f>IFERROR(__xludf.DUMMYFUNCTION("AI(""ritu.verma@gmail.com
sanjay.reddy@gmail.com
tanvi.iyer@gmail.com
varun.nair@gmail.com
ishita.joshi@gmail.com
remove the dots from gmails given and past it in selected field"")"),"tanviiyer@gmail.com")</f>
        <v>tanviiyer@gmail.com</v>
      </c>
      <c r="D41" s="3" t="s">
        <v>183</v>
      </c>
      <c r="E41" s="3">
        <v>5.0</v>
      </c>
      <c r="F41" s="5" t="s">
        <v>184</v>
      </c>
      <c r="G41" s="5" t="s">
        <v>185</v>
      </c>
    </row>
    <row r="42" ht="22.5" customHeight="1">
      <c r="A42" s="2">
        <v>46283.84204861111</v>
      </c>
      <c r="B42" s="5" t="str">
        <f>IFERROR(__xludf.DUMMYFUNCTION("AI(""Fill an appropriate value for this cell based on the table context"")"),"Varun Nair")</f>
        <v>Varun Nair</v>
      </c>
      <c r="C42" s="3" t="str">
        <f>IFERROR(__xludf.DUMMYFUNCTION("AI(""ritu.verma@gmail.com
sanjay.reddy@gmail.com
tanvi.iyer@gmail.com
varun.nair@gmail.com
ishita.joshi@gmail.com
remove the dots from gmails given and past it in selected field"")"),"varunnair@gmail.com")</f>
        <v>varunnair@gmail.com</v>
      </c>
      <c r="D42" s="3" t="s">
        <v>186</v>
      </c>
      <c r="E42" s="3">
        <v>3.0</v>
      </c>
      <c r="F42" s="5" t="s">
        <v>187</v>
      </c>
      <c r="G42" s="5" t="s">
        <v>188</v>
      </c>
    </row>
    <row r="43" ht="22.5" customHeight="1">
      <c r="A43" s="2">
        <v>46284.37168981481</v>
      </c>
      <c r="B43" s="5" t="str">
        <f>IFERROR(__xludf.DUMMYFUNCTION("AI(""Fill an appropriate value for this cell based on the table context"")"),"Ishita Joshi")</f>
        <v>Ishita Joshi</v>
      </c>
      <c r="C43" s="3" t="str">
        <f>IFERROR(__xludf.DUMMYFUNCTION("AI(""ritu.verma@gmail.com
sanjay.reddy@gmail.com
tanvi.iyer@gmail.com
varun.nair@gmail.com
ishita.joshi@gmail.com
remove the dots from gmails given and past it in selected field"")"),"ishitajoshi@gmail.com")</f>
        <v>ishitajoshi@gmail.com</v>
      </c>
      <c r="D43" s="3" t="s">
        <v>189</v>
      </c>
      <c r="E43" s="3">
        <v>4.0</v>
      </c>
      <c r="F43" s="5" t="s">
        <v>190</v>
      </c>
      <c r="G43" s="5" t="s">
        <v>191</v>
      </c>
    </row>
    <row r="44" ht="22.5" customHeight="1">
      <c r="A44" s="2">
        <v>46284.48310185185</v>
      </c>
      <c r="B44" s="5" t="str">
        <f>IFERROR(__xludf.DUMMYFUNCTION("AI(""Fill an appropriate value for this cell based on the table context"")"),"Sachin Desai")</f>
        <v>Sachin Desai</v>
      </c>
      <c r="C44" s="3" t="s">
        <v>192</v>
      </c>
      <c r="D44" s="3" t="s">
        <v>193</v>
      </c>
      <c r="E44" s="3">
        <v>4.0</v>
      </c>
      <c r="F44" s="5" t="s">
        <v>194</v>
      </c>
      <c r="G44" s="5" t="s">
        <v>195</v>
      </c>
    </row>
    <row r="45" ht="22.5" customHeight="1">
      <c r="A45" s="2">
        <v>46284.597395833334</v>
      </c>
      <c r="B45" s="5" t="str">
        <f>IFERROR(__xludf.DUMMYFUNCTION("AI(""Fill an appropriate value for this cell based on the table context"")"),"Neha Gawande")</f>
        <v>Neha Gawande</v>
      </c>
      <c r="C45" s="3" t="s">
        <v>196</v>
      </c>
      <c r="D45" s="3" t="s">
        <v>197</v>
      </c>
      <c r="E45" s="3">
        <v>5.0</v>
      </c>
      <c r="F45" s="5" t="s">
        <v>198</v>
      </c>
      <c r="G45" s="5" t="s">
        <v>199</v>
      </c>
    </row>
    <row r="46" ht="22.5" customHeight="1">
      <c r="A46" s="2">
        <v>46284.71938657408</v>
      </c>
      <c r="B46" s="5" t="str">
        <f>IFERROR(__xludf.DUMMYFUNCTION("AI(""Fill an appropriate value for this cell based on the table context"")"),"Vikram Singh")</f>
        <v>Vikram Singh</v>
      </c>
      <c r="C46" s="3" t="s">
        <v>200</v>
      </c>
      <c r="D46" s="3" t="s">
        <v>201</v>
      </c>
      <c r="E46" s="3">
        <v>4.0</v>
      </c>
      <c r="F46" s="5" t="s">
        <v>202</v>
      </c>
      <c r="G46" s="5" t="s">
        <v>203</v>
      </c>
    </row>
    <row r="47" ht="22.5" customHeight="1">
      <c r="A47" s="2">
        <v>46284.864699074074</v>
      </c>
      <c r="B47" s="5" t="str">
        <f>IFERROR(__xludf.DUMMYFUNCTION("AI(""Fill an appropriate value for this cell based on the table context"")"),"Aditi Kadam")</f>
        <v>Aditi Kadam</v>
      </c>
      <c r="C47" s="3" t="s">
        <v>204</v>
      </c>
      <c r="D47" s="3" t="s">
        <v>205</v>
      </c>
      <c r="E47" s="3">
        <v>4.0</v>
      </c>
      <c r="F47" s="5" t="s">
        <v>206</v>
      </c>
      <c r="G47" s="5" t="s">
        <v>207</v>
      </c>
    </row>
    <row r="48" ht="22.5" customHeight="1">
      <c r="A48" s="2">
        <v>46285.39612268518</v>
      </c>
      <c r="B48" s="5" t="str">
        <f>IFERROR(__xludf.DUMMYFUNCTION("AI(""Fill an appropriate value for this cell based on the table context"")"),"Rohan Shinde")</f>
        <v>Rohan Shinde</v>
      </c>
      <c r="C48" s="3" t="s">
        <v>208</v>
      </c>
      <c r="D48" s="3" t="s">
        <v>209</v>
      </c>
      <c r="E48" s="3">
        <v>5.0</v>
      </c>
      <c r="F48" s="5" t="s">
        <v>210</v>
      </c>
      <c r="G48" s="5" t="s">
        <v>211</v>
      </c>
    </row>
    <row r="49" ht="22.5" customHeight="1">
      <c r="A49" s="2">
        <v>46285.552569444444</v>
      </c>
      <c r="B49" s="5" t="str">
        <f>IFERROR(__xludf.DUMMYFUNCTION("AI(""Fill an appropriate value for this cell based on the table context"")"),"Kavita Bhosale")</f>
        <v>Kavita Bhosale</v>
      </c>
      <c r="C49" s="3" t="s">
        <v>212</v>
      </c>
      <c r="D49" s="3" t="s">
        <v>213</v>
      </c>
      <c r="E49" s="3">
        <v>5.0</v>
      </c>
      <c r="F49" s="5" t="s">
        <v>214</v>
      </c>
      <c r="G49" s="5" t="s">
        <v>215</v>
      </c>
    </row>
    <row r="50" ht="22.5" customHeight="1">
      <c r="A50" s="2">
        <v>46285.694652777776</v>
      </c>
      <c r="B50" s="5" t="str">
        <f>IFERROR(__xludf.DUMMYFUNCTION("AI(""Fill an appropriate value for this cell based on the table context"")"),"Amit Jadhav")</f>
        <v>Amit Jadhav</v>
      </c>
      <c r="C50" s="3" t="s">
        <v>216</v>
      </c>
      <c r="D50" s="3" t="s">
        <v>217</v>
      </c>
      <c r="E50" s="3">
        <v>5.0</v>
      </c>
      <c r="F50" s="5" t="s">
        <v>218</v>
      </c>
      <c r="G50" s="5" t="s">
        <v>219</v>
      </c>
    </row>
    <row r="51" ht="22.5" customHeight="1">
      <c r="A51" s="2">
        <v>46285.84918981481</v>
      </c>
      <c r="B51" s="5" t="str">
        <f>IFERROR(__xludf.DUMMYFUNCTION("AI(""Fill an appropriate value for this cell based on the table context"")"),"Sneha Kapoor")</f>
        <v>Sneha Kapoor</v>
      </c>
      <c r="C51" s="3" t="str">
        <f>IFERROR(__xludf.DUMMYFUNCTION("AI(""
aryan.pawar@gmail.com (Common Pune surname: Pawar)
shruti.kale@gmail.com (Common Maharashtrian surname: Kale)
vishalmehta98@gmail.com (No dot, common in business communities)
anika.joshi.pune@gmail.com (Includes city for uniqueness)
rajesh.kulka"&amp;"rni01@gmail.com (Kulkarni is very common in Pune; added year)
priya.patil23@gmail.com (Patil is extremely common in Maharashtra)
sachin.desai.coep@gmail.com (References COEP University, a major Pune engineering college)
neha.gawande99@gmail.com (Gawand"&amp;"e is a known Pune surname)
vikram.singh.pune@gmail.com
aditi.kadam2024@gmail.com (Kadam is common; uses future graduation year)
rohan.shinde.vp@gmail.com (Shinde is common; VP might refer to a college like VIT or just initials)
kavita.bhosale85@gmail."&amp;"com
amit.jadhav.pune@gmail.com
sneha.kapoor.sppu@gmail.com (References Savitribai Phule Pune University)
nilesh.wagh07@gmail.com
pooja.mhaske92@gmail.com
rahul.deshmukh.pune@gmail.com
meera.kulkarni.coep@gmail.com
suresh.pawar.india@gmail.com
anan"&amp;"ya.joshi.pune@gmail.com
karthik.reddy.mitpune@gmail.com (References MIT Pune)
deepak.kale.nagpur@gmail.com (Kale from Nagpur studying in Pune, common scenario)
isha.gupta99@gmail.com
manish.patil.vit@gmail.com
ruchita.jadhav01@gmail.com
ajay.sawant."&amp;"pune@gmail.com
divya.kulkarni.coep@gmail.com
pranav.shinde98@gmail.com
sonali.patil.sppu@gmail.com
nikhil.desai.mitpune@gmail.com
place this addresses in selected field and remove the brakets and info inside it"")"),"sneha.kapoor.sppu@gmail.com")</f>
        <v>sneha.kapoor.sppu@gmail.com</v>
      </c>
      <c r="D51" s="3" t="s">
        <v>220</v>
      </c>
      <c r="E51" s="3">
        <v>5.0</v>
      </c>
      <c r="F51" s="5" t="s">
        <v>221</v>
      </c>
      <c r="G51" s="5" t="s">
        <v>222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